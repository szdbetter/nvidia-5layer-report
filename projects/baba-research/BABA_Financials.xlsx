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Margin Analysis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YoY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1A1A2E"/>
      <sz val="10"/>
    </font>
    <font>
      <name val="Arial"/>
      <color rgb="00006600"/>
      <sz val="10"/>
    </font>
    <font>
      <name val="Arial"/>
      <color rgb="00CC0000"/>
      <sz val="10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6600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indent="1"/>
    </xf>
    <xf numFmtId="3" fontId="4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indent="1"/>
    </xf>
    <xf numFmtId="3" fontId="4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/>
    </xf>
    <xf numFmtId="164" fontId="4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/>
    </xf>
    <xf numFmtId="2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Margin Analysis TTM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'Margin Analysis'!B2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'Margin Analysis'!$A$3:$A$6</f>
            </numRef>
          </cat>
          <val>
            <numRef>
              <f>'Margin Analysis'!$B$3:$B$6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2" customHeight="1">
      <c r="A1" s="1" t="inlineStr">
        <is>
          <t>阿里巴巴集团 BABA — Income Statement (百万人民币)</t>
        </is>
      </c>
    </row>
    <row r="2">
      <c r="A2" s="2" t="inlineStr">
        <is>
          <t>指标 / Metric</t>
        </is>
      </c>
      <c r="B2" s="2" t="inlineStr">
        <is>
          <t>TTM (Dec'25)</t>
        </is>
      </c>
      <c r="C2" s="2" t="inlineStr">
        <is>
          <t>FY2024 (Mar'25)</t>
        </is>
      </c>
      <c r="D2" s="2" t="inlineStr">
        <is>
          <t>FY2023 (Mar'24)</t>
        </is>
      </c>
      <c r="E2" s="2" t="inlineStr">
        <is>
          <t>FY2022 (Est.)</t>
        </is>
      </c>
    </row>
    <row r="3" ht="22" customHeight="1">
      <c r="A3" s="3" t="inlineStr">
        <is>
          <t>Revenue</t>
        </is>
      </c>
      <c r="B3" s="4" t="n">
        <v>1016744</v>
      </c>
      <c r="C3" s="4" t="n">
        <v>996347</v>
      </c>
      <c r="D3" s="4" t="n">
        <v>941168</v>
      </c>
      <c r="E3" s="4" t="n">
        <v>853062</v>
      </c>
    </row>
    <row r="4" ht="22" customHeight="1">
      <c r="A4" s="5" t="inlineStr">
        <is>
          <t>Gross Profit</t>
        </is>
      </c>
      <c r="B4" s="6" t="n">
        <v>404374</v>
      </c>
      <c r="C4" s="7" t="n"/>
      <c r="D4" s="7" t="n"/>
      <c r="E4" s="7" t="n"/>
    </row>
    <row r="5" ht="22" customHeight="1">
      <c r="A5" s="3" t="inlineStr">
        <is>
          <t>Gross Margin %</t>
        </is>
      </c>
      <c r="B5" s="8" t="n">
        <v>39.77</v>
      </c>
      <c r="C5" s="9" t="n"/>
      <c r="D5" s="9" t="n"/>
      <c r="E5" s="9" t="n"/>
    </row>
    <row r="6" ht="22" customHeight="1">
      <c r="A6" s="5" t="inlineStr">
        <is>
          <t>SG&amp;A</t>
        </is>
      </c>
      <c r="B6" s="6" t="n">
        <v>261251</v>
      </c>
      <c r="C6" s="7" t="n"/>
      <c r="D6" s="7" t="n"/>
      <c r="E6" s="7" t="n"/>
    </row>
    <row r="7" ht="22" customHeight="1">
      <c r="A7" s="3" t="inlineStr">
        <is>
          <t>R&amp;D</t>
        </is>
      </c>
      <c r="B7" s="4" t="n">
        <v>64510</v>
      </c>
      <c r="C7" s="9" t="n"/>
      <c r="D7" s="9" t="n"/>
      <c r="E7" s="9" t="n"/>
    </row>
    <row r="8" ht="22" customHeight="1">
      <c r="A8" s="5" t="inlineStr">
        <is>
          <t>Operating Income</t>
        </is>
      </c>
      <c r="B8" s="6" t="n">
        <v>79492</v>
      </c>
      <c r="C8" s="7" t="n"/>
      <c r="D8" s="7" t="n"/>
      <c r="E8" s="7" t="n"/>
    </row>
    <row r="9" ht="22" customHeight="1">
      <c r="A9" s="3" t="inlineStr">
        <is>
          <t>Operating Margin %</t>
        </is>
      </c>
      <c r="B9" s="8" t="n">
        <v>7.82</v>
      </c>
      <c r="C9" s="9" t="n"/>
      <c r="D9" s="9" t="n"/>
      <c r="E9" s="9" t="n"/>
    </row>
    <row r="10" ht="22" customHeight="1">
      <c r="A10" s="5" t="inlineStr">
        <is>
          <t>Net Income</t>
        </is>
      </c>
      <c r="B10" s="6" t="n">
        <v>92810</v>
      </c>
      <c r="C10" s="6" t="n">
        <v>129470</v>
      </c>
      <c r="D10" s="6" t="n">
        <v>79741</v>
      </c>
      <c r="E10" s="7" t="n"/>
    </row>
    <row r="11" ht="22" customHeight="1">
      <c r="A11" s="3" t="inlineStr">
        <is>
          <t>Net Margin %</t>
        </is>
      </c>
      <c r="B11" s="8" t="n">
        <v>8.91</v>
      </c>
      <c r="C11" s="9" t="n"/>
      <c r="D11" s="9" t="n"/>
      <c r="E11" s="9" t="n"/>
    </row>
    <row r="12" ht="22" customHeight="1">
      <c r="A12" s="5" t="inlineStr">
        <is>
          <t>EPS (Diluted) RMB</t>
        </is>
      </c>
      <c r="B12" s="10" t="n">
        <v>37.84</v>
      </c>
      <c r="C12" s="10" t="n">
        <v>53.6</v>
      </c>
      <c r="D12" s="7" t="n"/>
      <c r="E12" s="7" t="n"/>
    </row>
    <row r="13" ht="22" customHeight="1">
      <c r="A13" s="3" t="inlineStr">
        <is>
          <t>Shares Outstanding (M)</t>
        </is>
      </c>
      <c r="B13" s="4" t="n">
        <v>2399</v>
      </c>
      <c r="C13" s="9" t="n"/>
      <c r="D13" s="9" t="n"/>
      <c r="E13" s="9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32" customHeight="1">
      <c r="A1" s="1" t="inlineStr">
        <is>
          <t>阿里巴巴 BABA — Margin Analysis</t>
        </is>
      </c>
    </row>
    <row r="2">
      <c r="A2" s="2" t="inlineStr">
        <is>
          <t>利润率指标</t>
        </is>
      </c>
      <c r="B2" s="2" t="inlineStr">
        <is>
          <t>TTM (Dec'25)</t>
        </is>
      </c>
      <c r="C2" s="2" t="inlineStr">
        <is>
          <t>FY2024</t>
        </is>
      </c>
      <c r="D2" s="2" t="inlineStr">
        <is>
          <t>FY2023</t>
        </is>
      </c>
    </row>
    <row r="3" ht="22" customHeight="1">
      <c r="A3" s="3" t="inlineStr">
        <is>
          <t>Gross Margin %</t>
        </is>
      </c>
      <c r="B3" s="8" t="n">
        <v>39.77</v>
      </c>
      <c r="C3" s="9" t="n"/>
      <c r="D3" s="9" t="n"/>
    </row>
    <row r="4" ht="22" customHeight="1">
      <c r="A4" s="5" t="inlineStr">
        <is>
          <t>Operating Margin %</t>
        </is>
      </c>
      <c r="B4" s="11" t="n">
        <v>7.82</v>
      </c>
      <c r="C4" s="7" t="n"/>
      <c r="D4" s="7" t="n"/>
    </row>
    <row r="5" ht="22" customHeight="1">
      <c r="A5" s="3" t="inlineStr">
        <is>
          <t>Net Margin %</t>
        </is>
      </c>
      <c r="B5" s="8" t="n">
        <v>8.91</v>
      </c>
      <c r="C5" s="8" t="n">
        <v>13</v>
      </c>
      <c r="D5" s="8" t="n">
        <v>8.470000000000001</v>
      </c>
    </row>
    <row r="6" ht="22" customHeight="1">
      <c r="A6" s="5" t="inlineStr">
        <is>
          <t>FCF Margin %</t>
        </is>
      </c>
      <c r="B6" s="11" t="n">
        <v>9.279999999999999</v>
      </c>
      <c r="C6" s="11" t="n">
        <v>7.78</v>
      </c>
      <c r="D6" s="7" t="n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 ht="32" customHeight="1">
      <c r="A1" s="1" t="inlineStr">
        <is>
          <t>阿里巴巴 BABA — Cash Flow (百万人民币)</t>
        </is>
      </c>
    </row>
    <row r="2">
      <c r="A2" s="2" t="inlineStr">
        <is>
          <t>现金流指标</t>
        </is>
      </c>
      <c r="B2" s="2" t="inlineStr">
        <is>
          <t>TTM (Dec'25)</t>
        </is>
      </c>
      <c r="C2" s="2" t="inlineStr">
        <is>
          <t>FY2024 (Mar'25)</t>
        </is>
      </c>
    </row>
    <row r="3" ht="22" customHeight="1">
      <c r="A3" s="3" t="inlineStr">
        <is>
          <t>Free Cash Flow</t>
        </is>
      </c>
      <c r="B3" s="4" t="n">
        <v>94323</v>
      </c>
      <c r="C3" s="4" t="n">
        <v>77537</v>
      </c>
    </row>
    <row r="4" ht="22" customHeight="1">
      <c r="A4" s="5" t="inlineStr">
        <is>
          <t>FCF Margin %</t>
        </is>
      </c>
      <c r="B4" s="11" t="n">
        <v>9.279999999999999</v>
      </c>
      <c r="C4" s="11" t="n">
        <v>7.78</v>
      </c>
    </row>
    <row r="5" ht="22" customHeight="1">
      <c r="A5" s="3" t="inlineStr">
        <is>
          <t>FCF YoY Growth %</t>
        </is>
      </c>
      <c r="B5" s="8" t="n">
        <v>21.65</v>
      </c>
      <c r="C5" s="9" t="n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32" customHeight="1">
      <c r="A1" s="1" t="inlineStr">
        <is>
          <t>阿里巴巴 BABA — YoY Comparison</t>
        </is>
      </c>
    </row>
    <row r="2">
      <c r="A2" s="2" t="inlineStr">
        <is>
          <t>指标</t>
        </is>
      </c>
      <c r="B2" s="2" t="inlineStr">
        <is>
          <t>TTM (Dec'25)</t>
        </is>
      </c>
      <c r="C2" s="2" t="inlineStr">
        <is>
          <t>FY2024 (Mar'25)</t>
        </is>
      </c>
      <c r="D2" s="2" t="inlineStr">
        <is>
          <t>YoY %</t>
        </is>
      </c>
    </row>
    <row r="3" ht="22" customHeight="1">
      <c r="A3" s="3" t="inlineStr">
        <is>
          <t>Revenue</t>
        </is>
      </c>
      <c r="B3" s="4" t="n">
        <v>1016744</v>
      </c>
      <c r="C3" s="4" t="n">
        <v>996347</v>
      </c>
      <c r="D3" s="12" t="n">
        <v>3.56</v>
      </c>
    </row>
    <row r="4" ht="22" customHeight="1">
      <c r="A4" s="5" t="inlineStr">
        <is>
          <t>Net Income</t>
        </is>
      </c>
      <c r="B4" s="6" t="n">
        <v>92810</v>
      </c>
      <c r="C4" s="6" t="n">
        <v>129470</v>
      </c>
      <c r="D4" s="13" t="n">
        <v>-28.32</v>
      </c>
    </row>
    <row r="5" ht="22" customHeight="1">
      <c r="A5" s="3" t="inlineStr">
        <is>
          <t>FCF</t>
        </is>
      </c>
      <c r="B5" s="4" t="n">
        <v>94323</v>
      </c>
      <c r="C5" s="4" t="n">
        <v>77537</v>
      </c>
      <c r="D5" s="12" t="n">
        <v>21.65</v>
      </c>
    </row>
    <row r="6" ht="22" customHeight="1">
      <c r="A6" s="5" t="inlineStr">
        <is>
          <t>EPS Diluted</t>
        </is>
      </c>
      <c r="B6" s="6" t="n">
        <v>37.84</v>
      </c>
      <c r="C6" s="6" t="n">
        <v>53.6</v>
      </c>
      <c r="D6" s="13" t="n">
        <v>-29.4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2026-03-20T13:06:42Z</dcterms:created>
  <dcterms:modified xmlns:dcterms="http://purl.org/dc/terms/" xmlns:xsi="http://www.w3.org/2001/XMLSchema-instance" xsi:type="dcterms:W3CDTF">2026-03-20T13:06:43Z</dcterms:modified>
</cp:coreProperties>
</file>